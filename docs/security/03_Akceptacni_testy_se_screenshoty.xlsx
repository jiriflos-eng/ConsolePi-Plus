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aabaf661b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kceptační testy" sheetId="1" r:id="Radea325c32324bf8"/>
    <x:sheet xmlns:r="http://schemas.openxmlformats.org/officeDocument/2006/relationships" name="Souhrn" sheetId="2" r:id="R9f31c8b78c2341c8"/>
    <x:sheet xmlns:r="http://schemas.openxmlformats.org/officeDocument/2006/relationships" name="Reference" sheetId="3" r:id="R9ebd90119d27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44444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Arial"/>
    </x:font>
    <x:font>
      <x:sz val="11"/>
      <x:color rgb="FF404040"/>
      <x:name val="Arial"/>
    </x:font>
    <x:font>
      <x:b/>
      <x:sz val="11"/>
      <x:color rgb="FF000000"/>
      <x:name val="Arial"/>
    </x:font>
    <x:font>
      <x:sz val="11"/>
      <x:color rgb="FF7F3300"/>
      <x:name val="Arial"/>
    </x:font>
    <x:font>
      <x:b/>
      <x:sz val="11"/>
      <x:name val="Arial"/>
    </x:font>
    <x:font>
      <x:sz val="1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666666"/>
      </x:font>
      <x:fill>
        <x:patternFill>
          <x:bgColor rgb="FFE7E6E6"/>
        </x:patternFill>
      </x:fill>
    </x:dxf>
    <x:dxf>
      <x:font>
        <x:b/>
        <x:color rgb="FF2E7D32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a6295fe2524aa5" /><Relationship Type="http://schemas.openxmlformats.org/officeDocument/2006/relationships/theme" Target="/xl/theme/theme1.xml" Id="R5b76365968084347" /><Relationship Type="http://schemas.openxmlformats.org/officeDocument/2006/relationships/sharedStrings" Target="/xl/sharedStrings.xml" Id="R6996a40449134dc7" /><Relationship Type="http://schemas.openxmlformats.org/officeDocument/2006/relationships/worksheet" Target="/xl/worksheets/sheet1.xml" Id="Radea325c32324bf8" /><Relationship Type="http://schemas.openxmlformats.org/officeDocument/2006/relationships/worksheet" Target="/xl/worksheets/sheet2.xml" Id="R9f31c8b78c2341c8" /><Relationship Type="http://schemas.openxmlformats.org/officeDocument/2006/relationships/worksheet" Target="/xl/worksheets/sheet3.xml" Id="R9ebd90119d27403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d0edbaa31c5428d" /><Relationship Type="http://schemas.openxmlformats.org/officeDocument/2006/relationships/image" Target="/xl/media/image2.jpg" Id="R472ff8a4890d48cf" /><Relationship Type="http://schemas.openxmlformats.org/officeDocument/2006/relationships/image" Target="/xl/media/image3.jpg" Id="Re7d4be4be91d4c07" /><Relationship Type="http://schemas.openxmlformats.org/officeDocument/2006/relationships/image" Target="/xl/media/image4.jpg" Id="Reb6e085698cc459c" /><Relationship Type="http://schemas.openxmlformats.org/officeDocument/2006/relationships/image" Target="/xl/media/image5.jpg" Id="R3c4aa7e63f2447da" /><Relationship Type="http://schemas.openxmlformats.org/officeDocument/2006/relationships/image" Target="/xl/media/image6.jpg" Id="R76700be50b334f67" /><Relationship Type="http://schemas.openxmlformats.org/officeDocument/2006/relationships/image" Target="/xl/media/image7.jpg" Id="R0899012ca1c341e9" /><Relationship Type="http://schemas.openxmlformats.org/officeDocument/2006/relationships/image" Target="/xl/media/image8.jpg" Id="Rae64b14f5b134e04" /><Relationship Type="http://schemas.openxmlformats.org/officeDocument/2006/relationships/image" Target="/xl/media/image9.jpg" Id="R2d7e2c3cd42449e3" /><Relationship Type="http://schemas.openxmlformats.org/officeDocument/2006/relationships/image" Target="/xl/media/image10.jpg" Id="Rc5d6710d31af4fae" /><Relationship Type="http://schemas.openxmlformats.org/officeDocument/2006/relationships/image" Target="/xl/media/image11.jpg" Id="Rc087f5aa59654a74" /><Relationship Type="http://schemas.openxmlformats.org/officeDocument/2006/relationships/image" Target="/xl/media/image12.jpg" Id="R2115ba9da17c4b47" /><Relationship Type="http://schemas.openxmlformats.org/officeDocument/2006/relationships/image" Target="/xl/media/image13.jpg" Id="R034c461ff03f4d99" /><Relationship Type="http://schemas.openxmlformats.org/officeDocument/2006/relationships/image" Target="/xl/media/image14.jpg" Id="R71da0c8b1193414d" /><Relationship Type="http://schemas.openxmlformats.org/officeDocument/2006/relationships/image" Target="/xl/media/image15.jpg" Id="R0a22d5f31f0448af" /><Relationship Type="http://schemas.openxmlformats.org/officeDocument/2006/relationships/image" Target="/xl/media/image16.jpg" Id="R3ff37b3b853641ad" /><Relationship Type="http://schemas.openxmlformats.org/officeDocument/2006/relationships/image" Target="/xl/media/image17.jpg" Id="R38a8c29770644cd2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16</xdr:row>
      <xdr:rowOff>0</xdr:rowOff>
    </xdr:from>
    <xdr:ext cx="10477500" cy="5130297"/>
    <xdr:pic>
      <xdr:nvPicPr>
        <xdr:cNvPr id="1" name="/xl/media/image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0edbaa31c542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49</xdr:row>
      <xdr:rowOff>0</xdr:rowOff>
    </xdr:from>
    <xdr:ext cx="9486900" cy="2924175"/>
    <xdr:pic>
      <xdr:nvPicPr>
        <xdr:cNvPr id="2" name="/xl/media/image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2ff8a4890d48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71</xdr:row>
      <xdr:rowOff>0</xdr:rowOff>
    </xdr:from>
    <xdr:ext cx="9486900" cy="4286250"/>
    <xdr:pic>
      <xdr:nvPicPr>
        <xdr:cNvPr id="3" name="/xl/media/image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d4be4be91d4c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100</xdr:row>
      <xdr:rowOff>0</xdr:rowOff>
    </xdr:from>
    <xdr:ext cx="9486900" cy="2705100"/>
    <xdr:pic>
      <xdr:nvPicPr>
        <xdr:cNvPr id="4" name="/xl/media/image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6e085698cc45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121</xdr:row>
      <xdr:rowOff>0</xdr:rowOff>
    </xdr:from>
    <xdr:ext cx="9486900" cy="4676775"/>
    <xdr:pic>
      <xdr:nvPicPr>
        <xdr:cNvPr id="5" name="/xl/media/image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4aa7e63f2447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152</xdr:row>
      <xdr:rowOff>0</xdr:rowOff>
    </xdr:from>
    <xdr:ext cx="10477500" cy="4286250"/>
    <xdr:pic>
      <xdr:nvPicPr>
        <xdr:cNvPr id="6" name="/xl/media/image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700be50b334f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181</xdr:row>
      <xdr:rowOff>0</xdr:rowOff>
    </xdr:from>
    <xdr:ext cx="10439400" cy="4019550"/>
    <xdr:pic>
      <xdr:nvPicPr>
        <xdr:cNvPr id="7" name="/xl/media/image7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99012ca1c341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209</xdr:row>
      <xdr:rowOff>0</xdr:rowOff>
    </xdr:from>
    <xdr:ext cx="5229225" cy="3743325"/>
    <xdr:pic>
      <xdr:nvPicPr>
        <xdr:cNvPr id="8" name="/xl/media/image8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64b14f5b134e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235</xdr:row>
      <xdr:rowOff>0</xdr:rowOff>
    </xdr:from>
    <xdr:ext cx="10439400" cy="4676775"/>
    <xdr:pic>
      <xdr:nvPicPr>
        <xdr:cNvPr id="9" name="/xl/media/image9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7e2c3cd42449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267</xdr:row>
      <xdr:rowOff>0</xdr:rowOff>
    </xdr:from>
    <xdr:ext cx="10439400" cy="4895850"/>
    <xdr:pic>
      <xdr:nvPicPr>
        <xdr:cNvPr id="10" name="/xl/media/image10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d6710d31af4f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299</xdr:row>
      <xdr:rowOff>0</xdr:rowOff>
    </xdr:from>
    <xdr:ext cx="10439400" cy="2009775"/>
    <xdr:pic>
      <xdr:nvPicPr>
        <xdr:cNvPr id="11" name="/xl/media/image11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87f5aa59654a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316</xdr:row>
      <xdr:rowOff>0</xdr:rowOff>
    </xdr:from>
    <xdr:ext cx="10439400" cy="2076450"/>
    <xdr:pic>
      <xdr:nvPicPr>
        <xdr:cNvPr id="12" name="/xl/media/image12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15ba9da17c4b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333</xdr:row>
      <xdr:rowOff>0</xdr:rowOff>
    </xdr:from>
    <xdr:ext cx="10439400" cy="1933575"/>
    <xdr:pic>
      <xdr:nvPicPr>
        <xdr:cNvPr id="13" name="/xl/media/image13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4c461ff03f4d9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350</xdr:row>
      <xdr:rowOff>0</xdr:rowOff>
    </xdr:from>
    <xdr:ext cx="10477500" cy="6191250"/>
    <xdr:pic>
      <xdr:nvPicPr>
        <xdr:cNvPr id="14" name="/xl/media/image14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da0c8b119341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389</xdr:row>
      <xdr:rowOff>0</xdr:rowOff>
    </xdr:from>
    <xdr:ext cx="9144000" cy="7239000"/>
    <xdr:pic>
      <xdr:nvPicPr>
        <xdr:cNvPr id="15" name="/xl/media/image15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a22d5f31f0448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433</xdr:row>
      <xdr:rowOff>0</xdr:rowOff>
    </xdr:from>
    <xdr:ext cx="10439400" cy="1933575"/>
    <xdr:pic>
      <xdr:nvPicPr>
        <xdr:cNvPr id="16" name="/xl/media/image16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f37b3b853641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472</xdr:row>
      <xdr:rowOff>0</xdr:rowOff>
    </xdr:from>
    <xdr:ext cx="7620000" cy="5810250"/>
    <xdr:pic>
      <xdr:nvPicPr>
        <xdr:cNvPr id="17" name="dcdf80f6-8795-4b73-b984-5c6906e71e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a8c29770644c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5a2b7d2b6e444af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3" hidden="0" customWidth="1"/>
    <x:col min="3" max="3" width="22" hidden="0" customWidth="1"/>
    <x:col min="4" max="4" width="58" hidden="0" customWidth="1"/>
    <x:col min="5" max="5" width="48" hidden="0" customWidth="1"/>
    <x:col min="6" max="6" width="44" hidden="0" customWidth="1"/>
    <x:col min="7" max="7" width="20" hidden="0" customWidth="1"/>
    <x:col min="8" max="8" width="28" hidden="0" customWidth="1"/>
  </x:cols>
  <x:sheetData>
    <x:row r="1" ht="30" customHeight="1">
      <x:c r="A1" s="5" t="str">
        <x:v>ConsolePi+ 1.9.1 – akceptační bezpečnostní testy</x:v>
      </x:c>
      <x:c r="B1" s="5"/>
      <x:c r="C1" s="5"/>
      <x:c r="D1" s="5"/>
      <x:c r="E1" s="5"/>
      <x:c r="F1" s="5"/>
      <x:c r="G1" s="5"/>
      <x:c r="H1" s="5"/>
    </x:row>
    <x:row r="2" ht="30" customHeight="1">
      <x:c r="A2" s="11" t="str">
        <x:v>Testovací protokol pro ověření bezpečnostně významných vlastností konkrétní instalace ConsolePi+ 1.9.1.</x:v>
      </x:c>
      <x:c r="B2" s="11"/>
      <x:c r="C2" s="11"/>
      <x:c r="D2" s="11"/>
      <x:c r="E2" s="11"/>
      <x:c r="F2" s="11"/>
      <x:c r="G2" s="11"/>
      <x:c r="H2" s="11"/>
    </x:row>
    <x:row r="4">
      <x:c r="A4" s="15" t="str">
        <x:v>Zařízení / hostname</x:v>
      </x:c>
      <x:c r="B4" s="18" t="str"/>
      <x:c r="C4" s="15" t="str">
        <x:v>IP adresa</x:v>
      </x:c>
      <x:c r="D4" s="18" t="str"/>
      <x:c r="E4" s="15" t="str">
        <x:v>Datum testu</x:v>
      </x:c>
      <x:c r="F4" s="18" t="str"/>
      <x:c r="G4" s="15" t="str">
        <x:v>Auditor</x:v>
      </x:c>
      <x:c r="H4" s="18" t="str"/>
    </x:row>
    <x:row r="6" ht="30" customHeight="1">
      <x:c r="A6" s="23" t="str">
        <x:v>ID</x:v>
      </x:c>
      <x:c r="B6" s="23" t="str">
        <x:v>Oblast</x:v>
      </x:c>
      <x:c r="C6" s="23" t="str">
        <x:v>Místo spuštění</x:v>
      </x:c>
      <x:c r="D6" s="23" t="str">
        <x:v>Příkaz / postup</x:v>
      </x:c>
      <x:c r="E6" s="23" t="str">
        <x:v>Očekávaný výsledek</x:v>
      </x:c>
      <x:c r="F6" s="23" t="str">
        <x:v>Skutečný výsledek / důkaz</x:v>
      </x:c>
      <x:c r="G6" s="23" t="str">
        <x:v>Akceptace</x:v>
      </x:c>
      <x:c r="H6" s="23" t="str">
        <x:v>Poznámka</x:v>
      </x:c>
    </x:row>
    <x:row r="7" ht="45" customHeight="1">
      <x:c r="A7" s="33" t="str">
        <x:v>1</x:v>
      </x:c>
      <x:c r="B7" s="30" t="str">
        <x:v>Verze aplikace</x:v>
      </x:c>
      <x:c r="C7" s="30" t="str">
        <x:v>ConsolePi+</x:v>
      </x:c>
      <x:c r="D7" s="30" t="str">
        <x:v>cat /usr/share/consolepi/VERSION</x:v>
      </x:c>
      <x:c r="E7" s="30" t="str">
        <x:v>Výstup je přesně: 1.9.1</x:v>
      </x:c>
      <x:c r="F7" s="30" t="str"/>
      <x:c r="G7" s="33" t="str">
        <x:v>☐ Nevyhodnoceno</x:v>
      </x:c>
      <x:c r="H7" s="30" t="str">
        <x:v>Obrazová reference: S01, S07 (list Reference).</x:v>
      </x:c>
    </x:row>
    <x:row r="8" ht="70" customHeight="1">
      <x:c r="A8" s="33" t="str">
        <x:v>2</x:v>
      </x:c>
      <x:c r="B8" s="30" t="str">
        <x:v>Hlavní služby</x:v>
      </x:c>
      <x:c r="C8" s="30" t="str">
        <x:v>ConsolePi+</x:v>
      </x:c>
      <x:c r="D8" s="30" t="str">
        <x:v>systemctl is-active consolepi-web nginx ssh nftables
Při problému:
systemctl status consolepi-web nginx ssh nftables --no-pager</x:v>
      </x:c>
      <x:c r="E8" s="30" t="str">
        <x:v>Čtyři řádky „active“. Žádná z uvedených služeb není ve stavu failed.</x:v>
      </x:c>
      <x:c r="F8" s="30" t="str"/>
      <x:c r="G8" s="33" t="str">
        <x:v>☐ Nevyhodnoceno</x:v>
      </x:c>
      <x:c r="H8" s="30" t="str">
        <x:v>Obrazová reference: S07 (list Reference).</x:v>
      </x:c>
    </x:row>
    <x:row r="9" ht="90" customHeight="1">
      <x:c r="A9" s="33" t="str">
        <x:v>3</x:v>
      </x:c>
      <x:c r="B9" s="30" t="str">
        <x:v>Management allowlist a firewall</x:v>
      </x:c>
      <x:c r="C9" s="30" t="str">
        <x:v>ConsolePi+</x:v>
      </x:c>
      <x:c r="D9" s="30" t="str">
        <x:v>sudo nft list set inet consolepi_filter management_ipv4_networks
sudo nft list chain inet consolepi_filter input
sudo nft list chain inet consolepi_filter forward</x:v>
      </x:c>
      <x:c r="E9" s="30" t="str">
        <x:v>Allowlist obsahuje pouze schválené management IPv4 sítě. Řetězce input a forward mají výchozí politiku drop. Management služby nejsou dostupné mimo povolené zdroje.</x:v>
      </x:c>
      <x:c r="F9" s="30" t="str"/>
      <x:c r="G9" s="33" t="str">
        <x:v>☐ Nevyhodnoceno</x:v>
      </x:c>
      <x:c r="H9" s="30" t="str">
        <x:v>Obrazová reference: S02, S03 (list Reference).</x:v>
      </x:c>
    </x:row>
    <x:row r="10" ht="150" customHeight="1">
      <x:c r="A10" s="33" t="str">
        <x:v>4</x:v>
      </x:c>
      <x:c r="B10" s="30" t="str">
        <x:v>Administrativní SSH</x:v>
      </x:c>
      <x:c r="C10" s="30" t="str">
        <x:v>ConsolePi+ + administrační stanice</x:v>
      </x:c>
      <x:c r="D10" s="30" t="str">
        <x:v>Na ConsolePi+:
sudo passwd -S consolepi
sudo sshd -T -C user=consolepi,host=$(hostname),addr=127.0.0.1,laddr=127.0.0.1,lport=22 | grep -E '^(passwordauthentication|kbdinteractiveauthentication|pubkeyauthentication|authenticationmethods) '
Z administrační stanice – praktický password-only test:
ssh -o PubkeyAuthentication=no -o PreferredAuthentications=password -o NumberOfPasswordPrompts=1 consolepi@IP_CONSOLEPI</x:v>
      </x:c>
      <x:c r="E10" s="30" t="str">
        <x:v>Příkaz passwd -S vrátí u účtu consolepi stav L (locked). Pokus o přihlášení pouze heslem je odmítnut. Výstup sshd -T je doplňkový údaj; samotné „passwordauthentication yes“ není důkazem možnosti přihlášení heslem, pokud je systémové heslo účtu uzamčeno.</x:v>
      </x:c>
      <x:c r="F10" s="30" t="str"/>
      <x:c r="G10" s="33" t="str">
        <x:v>☐ Nevyhodnoceno</x:v>
      </x:c>
      <x:c r="H10" s="30" t="str">
        <x:v>Obrazová reference: S06, S13 (list Reference).</x:v>
      </x:c>
    </x:row>
    <x:row r="11" ht="140" customHeight="1">
      <x:c r="A11" s="33" t="str">
        <x:v>5</x:v>
      </x:c>
      <x:c r="B11" s="30" t="str">
        <x:v>TLS / HTTPS</x:v>
      </x:c>
      <x:c r="C11" s="30" t="str">
        <x:v>ConsolePi+</x:v>
      </x:c>
      <x:c r="D11" s="30" t="str">
        <x:v>sudo nginx -T 2&gt;/dev/null | grep -E 'ssl_protocols|ssl_certificate'
sudo openssl x509 -in /etc/consolepi/tls/consolepi.crt -noout -subject -issuer -dates -fingerprint -sha256
openssl s_client -connect 127.0.0.1:443 -tls1_2 &lt;/dev/null
openssl s_client -connect 127.0.0.1:443 -tls1_3 &lt;/dev/null</x:v>
      </x:c>
      <x:c r="E11" s="30" t="str">
        <x:v>Nginx povoluje TLS 1.2 a TLS 1.3. Certifikát je platný a odpovídá bezpečnostní politice organizace. Spojení přes TLS 1.2 i TLS 1.3 je úspěšné.</x:v>
      </x:c>
      <x:c r="F11" s="30" t="str"/>
      <x:c r="G11" s="33" t="str">
        <x:v>☐ Nevyhodnoceno</x:v>
      </x:c>
      <x:c r="H11" s="30" t="str">
        <x:v>Obrazová reference: S08 (list Reference).</x:v>
      </x:c>
    </x:row>
    <x:row r="12" ht="110" customHeight="1">
      <x:c r="A12" s="33" t="str">
        <x:v>6</x:v>
      </x:c>
      <x:c r="B12" s="30" t="str">
        <x:v>Autentizace konzolí / RADIUS / SNMPv3</x:v>
      </x:c>
      <x:c r="C12" s="30" t="str">
        <x:v>ConsolePi+</x:v>
      </x:c>
      <x:c r="D12" s="30" t="str">
        <x:v>sudo /usr/local/sbin/consolepi-control auth status
sudo /usr/local/sbin/consolepi-control snmp status
sudo stat -c '%a %U:%G %n' /etc/consolepi/radius-secrets.json /etc/consolepi/snmpv3-secrets.json /etc/consolepi/pam_radius_auth.conf</x:v>
      </x:c>
      <x:c r="E12" s="30" t="str">
        <x:v>Režim autentizace konzolí odpovídá schválené konfiguraci. Je-li SNMP aktivní, používá SNMPv3 authPriv (SHA-256/AES). Citlivé RADIUS/SNMP soubory mají omezená oprávnění, typicky 600 a vlastníka root.</x:v>
      </x:c>
      <x:c r="F12" s="30" t="str"/>
      <x:c r="G12" s="33" t="str">
        <x:v>☐ Nevyhodnoceno</x:v>
      </x:c>
      <x:c r="H12" s="30" t="str">
        <x:v>Obrazová reference: S05, S06 (list Reference).</x:v>
      </x:c>
    </x:row>
    <x:row r="13" ht="110" customHeight="1">
      <x:c r="A13" s="33" t="str">
        <x:v>7</x:v>
      </x:c>
      <x:c r="B13" s="30" t="str">
        <x:v>APT repozitáře a aktualizace</x:v>
      </x:c>
      <x:c r="C13" s="30" t="str">
        <x:v>ConsolePi+</x:v>
      </x:c>
      <x:c r="D13" s="30" t="str">
        <x:v>grep -RhsE '^(URIs:|Suites:|Components:|deb )' /etc/apt/sources.list /etc/apt/sources.list.d/* 2&gt;/dev/null
sudo /usr/local/sbin/consolepi-update-check --check
cat /var/lib/consolepi-web/update-status.json</x:v>
      </x:c>
      <x:c r="E13" s="30" t="str">
        <x:v>Použity jsou pouze schválené oficiální nebo interní APT repozitáře. Kontrola aktualizací proběhne bez chyby. Auditor vyhodnotí dostupné bezpečnostní aktualizace a případný požadavek na restart.</x:v>
      </x:c>
      <x:c r="F13" s="30" t="str"/>
      <x:c r="G13" s="33" t="str">
        <x:v>☐ Nevyhodnoceno</x:v>
      </x:c>
      <x:c r="H13" s="30" t="str">
        <x:v>Obrazová reference: S04, S12 (list Reference).</x:v>
      </x:c>
    </x:row>
    <x:row r="14" ht="120" customHeight="1">
      <x:c r="A14" s="33" t="str">
        <x:v>8</x:v>
      </x:c>
      <x:c r="B14" s="30" t="str">
        <x:v>Integrita instalačního média</x:v>
      </x:c>
      <x:c r="C14" s="30" t="str">
        <x:v>Stanice s distribučním souborem</x:v>
      </x:c>
      <x:c r="D14" s="30" t="str">
        <x:v>Linux:
sha256sum ConsolePi-Plus-1.9.1-generic.img.xz
macOS:
shasum -a 256 ConsolePi-Plus-1.9.1-generic.img.xz
Windows PowerShell:
Get-FileHash .\ConsolePi-Plus-1.9.1-generic.img.xz -Algorithm SHA256</x:v>
      </x:c>
      <x:c r="E14" s="30" t="str">
        <x:v>SHA-256 generic image:
91904098f45331d4b68d8837b67de389a06f710429adc7fca4decca4b4aa44e1
Pro instalační archiv:
e362a12bdf6103716eb62e7ef89e7b5db6589d9c333b9d2ae139a117665d0712</x:v>
      </x:c>
      <x:c r="F14" s="30" t="str"/>
      <x:c r="G14" s="33" t="str">
        <x:v>☐ Nevyhodnoceno</x:v>
      </x:c>
      <x:c r="H14" s="30" t="str">
        <x:v>Bez screenshotu; ověřit SHA-256 souboru.</x:v>
      </x:c>
    </x:row>
    <x:row r="15" ht="95" customHeight="1">
      <x:c r="A15" s="33" t="str">
        <x:v>9</x:v>
      </x:c>
      <x:c r="B15" s="30" t="str">
        <x:v>Veřejná stavová stránka</x:v>
      </x:c>
      <x:c r="C15" s="30" t="str">
        <x:v>ConsolePi+ / management síť</x:v>
      </x:c>
      <x:c r="D15" s="30" t="str">
        <x:v>curl -ks https://127.0.0.1/ | head -n 40
Současně ověřit z management sítě, zda je stránka dostupná pouze podle pravidel firewallu.</x:v>
      </x:c>
      <x:c r="E15" s="30" t="str">
        <x:v>Auditor posoudí, zda zveřejněné provozní informace (např. management adresa, názvy/stavy konzolí) jsou v daném prostředí akceptovatelné. Přístup z nepovolených sítí musí blokovat firewall.</x:v>
      </x:c>
      <x:c r="F15" s="30" t="str"/>
      <x:c r="G15" s="33" t="str">
        <x:v>☐ Nevyhodnoceno</x:v>
      </x:c>
      <x:c r="H15" s="30" t="str">
        <x:v>Obrazová reference: S15 (list Reference).</x:v>
      </x:c>
    </x:row>
    <x:row r="16" ht="70" customHeight="1">
      <x:c r="A16" s="33" t="str">
        <x:v>10</x:v>
      </x:c>
      <x:c r="B16" s="30" t="str">
        <x:v>Souhrnná diagnostika</x:v>
      </x:c>
      <x:c r="C16" s="30" t="str">
        <x:v>ConsolePi+</x:v>
      </x:c>
      <x:c r="D16" s="30" t="str">
        <x:v>sudo consolepi-diagnose</x:v>
      </x:c>
      <x:c r="E16" s="30" t="str">
        <x:v>Diagnostika neobsahuje kritické chyby. Nález je vyhodnocen společně s jednotlivými testy výše; nenahrazuje jejich samostatné provedení.</x:v>
      </x:c>
      <x:c r="F16" s="30" t="str"/>
      <x:c r="G16" s="33" t="str">
        <x:v>☐ Nevyhodnoceno</x:v>
      </x:c>
      <x:c r="H16" s="30" t="str">
        <x:v>Obrazová reference: S07, S10 (list Reference).</x:v>
      </x:c>
    </x:row>
    <x:row r="17" ht="145" customHeight="1">
      <x:c r="A17" s="30" t="str">
        <x:v>11</x:v>
      </x:c>
      <x:c r="B17" s="30" t="str">
        <x:v>Výchozí vypnutí</x:v>
      </x:c>
      <x:c r="C17" s="30" t="str">
        <x:v>Čistá instalace / RPi a síťový dohled</x:v>
      </x:c>
      <x:c r="D17" s="30" t="str">
        <x:v>Na instalaci rozšíření bez konfigurace: sudo consolepi-control syslog status; systemctl is-enabled consolepi-syslog. Zachytit provoz vůči kolektoru.</x:v>
      </x:c>
      <x:c r="E17" s="30" t="str">
        <x:v>Odesílání vypnuto, cíl a vlastní CA prázdné, fronta 0, služba disabled; žádný syslog provoz.</x:v>
      </x:c>
      <x:c r="F17" s="30"/>
      <x:c r="G17" s="30" t="str">
        <x:v>☐ Nevyhodnoceno</x:v>
      </x:c>
      <x:c r="H17" s="30" t="str">
        <x:v>Syslog zdrojové rozšíření PR 22; S17 je lokální náhled. Doplnit skutečný důkaz z RPi a kolektoru.</x:v>
      </x:c>
    </x:row>
    <x:row r="18" ht="145" customHeight="1">
      <x:c r="A18" s="30" t="str">
        <x:v>12</x:v>
      </x:c>
      <x:c r="B18" s="30" t="str">
        <x:v>Severity 0 až 7</x:v>
      </x:c>
      <x:c r="C18" s="30" t="str">
        <x:v>RPi a kolektor</x:v>
      </x:c>
      <x:c r="D18" s="30" t="str">
        <x:v>Na testovacím kolektoru nastavit práh 4 a vyvolat logger -t consolepi -p authpriv.warning SYSLOG_ACCEPT_4 a -p authpriv.info SYSLOG_ACCEPT_6. Opakovat pro práh 6. Pro prahy 0 a 7 použít zprávy emerg a debug.</x:v>
      </x:c>
      <x:c r="E18" s="30" t="str">
        <x:v>Práh 4 přijme warning, nikoli info; práh 6 obě. Práh 0 přijme jen emerg; 7 přijme i debug. Doložit severity a jedinečné značky v kolektoru.</x:v>
      </x:c>
      <x:c r="F18" s="30"/>
      <x:c r="G18" s="30" t="str">
        <x:v>☐ Nevyhodnoceno</x:v>
      </x:c>
      <x:c r="H18" s="30" t="str">
        <x:v>Syslog zdrojové rozšíření PR 22; S17 je lokální náhled. Doplnit skutečný důkaz z RPi a kolektoru.</x:v>
      </x:c>
    </x:row>
    <x:row r="19" ht="145" customHeight="1">
      <x:c r="A19" s="30" t="str">
        <x:v>13</x:v>
      </x:c>
      <x:c r="B19" s="30" t="str">
        <x:v>Povolené zdroje a údaje</x:v>
      </x:c>
      <x:c r="C19" s="30" t="str">
        <x:v>RPi, web a kolektor</x:v>
      </x:c>
      <x:c r="D19" s="30" t="str">
        <x:v>Vyvolat konzolovou relaci, úspěšné/neúspěšné SSH a webové přihlášení, nft-input-drop a chybu vybrané služby. Poslat neškodnou značku přes nepovolený tag a do testovacího sériového přepisu.</x:v>
      </x:c>
      <x:c r="E19" s="30" t="str">
        <x:v>Povolené události se přenesou podle severity. Nepovolený tag a značka pouze v přepisu se nepřenesou. Webový audit obsahuje výsledek a IP, ne heslo ani formulář.</x:v>
      </x:c>
      <x:c r="F19" s="30"/>
      <x:c r="G19" s="30" t="str">
        <x:v>☐ Nevyhodnoceno</x:v>
      </x:c>
      <x:c r="H19" s="30" t="str">
        <x:v>Syslog zdrojové rozšíření PR 22; S17 je lokální náhled. Doplnit skutečný důkaz z RPi a kolektoru.</x:v>
      </x:c>
    </x:row>
    <x:row r="20" ht="145" customHeight="1">
      <x:c r="A20" s="30" t="str">
        <x:v>14</x:v>
      </x:c>
      <x:c r="B20" s="30" t="str">
        <x:v>TLS a identita serveru</x:v>
      </x:c>
      <x:c r="C20" s="30" t="str">
        <x:v>RPi a testovací TLS kolektor</x:v>
      </x:c>
      <x:c r="D20" s="30" t="str">
        <x:v>Ověřit platnou systémovou CA nebo interní PEM CA. Pak vyzkoušet nedůvěryhodnou CA a certifikát s chybným DNS/IP. Kontrolovat síťový záznam a stav fronty.</x:v>
      </x:c>
      <x:c r="E20" s="30" t="str">
        <x:v>Platná identita se připojí; chybná CA nebo jméno/IP se odmítne. Zprávy čekají ve frontě a nedochází k automatickému přechodu na nešifrované TCP.</x:v>
      </x:c>
      <x:c r="F20" s="30"/>
      <x:c r="G20" s="30" t="str">
        <x:v>☐ Nevyhodnoceno</x:v>
      </x:c>
      <x:c r="H20" s="30" t="str">
        <x:v>Syslog zdrojové rozšíření PR 22; S17 je lokální náhled. Doplnit skutečný důkaz z RPi a kolektoru.</x:v>
      </x:c>
    </x:row>
    <x:row r="21" ht="145" customHeight="1">
      <x:c r="A21" s="30" t="str">
        <x:v>15</x:v>
      </x:c>
      <x:c r="B21" s="30" t="str">
        <x:v>Rámování a testovací zpráva</x:v>
      </x:c>
      <x:c r="C21" s="30" t="str">
        <x:v>Web a kolektor</x:v>
      </x:c>
      <x:c r="D21" s="30" t="str">
        <x:v>Pro TLS a výslovně nastavené TCP ověřit octet-counting rámování RFC 5425 a obsah RFC 5424. Odeslat test při severity 0, 4, 6 a 7. Porovnat UI s příjmem kolektoru.</x:v>
      </x:c>
      <x:c r="E21" s="30" t="str">
        <x:v>Kolektor přijme SYSLOG_TEST version=1.9.1 na nastavené severity, facility authpriv. Web potvrzuje lokální zápis; příjem musí být doložen samostatně.</x:v>
      </x:c>
      <x:c r="F21" s="30"/>
      <x:c r="G21" s="30" t="str">
        <x:v>☐ Nevyhodnoceno</x:v>
      </x:c>
      <x:c r="H21" s="30" t="str">
        <x:v>Syslog zdrojové rozšíření PR 22; S17 je lokální náhled. Doplnit skutečný důkaz z RPi a kolektoru.</x:v>
      </x:c>
    </x:row>
    <x:row r="22" ht="145" customHeight="1">
      <x:c r="A22" s="30" t="str">
        <x:v>16</x:v>
      </x:c>
      <x:c r="B22" s="30" t="str">
        <x:v>Výpadek a restart služby</x:v>
      </x:c>
      <x:c r="C22" s="30" t="str">
        <x:v>RPi a kolektor</x:v>
      </x:c>
      <x:c r="D22" s="30" t="str">
        <x:v>Odpojit testovací kolektor, vytvořit označené události, kontrolovat status a funkčnost konzolové relace. Restartovat jen consolepi-syslog a obnovit spojení.</x:v>
      </x:c>
      <x:c r="E22" s="30" t="str">
        <x:v>Fronta přežije restart, služba opakuje spojení po 10 s a konzole funguje během výpadku. Po obnově doložit příjem; vyhodnotit případné duplicity a ztráty.</x:v>
      </x:c>
      <x:c r="F22" s="30"/>
      <x:c r="G22" s="30" t="str">
        <x:v>☐ Nevyhodnoceno</x:v>
      </x:c>
      <x:c r="H22" s="30" t="str">
        <x:v>Syslog zdrojové rozšíření PR 22; S17 je lokální náhled. Doplnit skutečný důkaz z RPi a kolektoru.</x:v>
      </x:c>
    </x:row>
    <x:row r="23" ht="145" customHeight="1">
      <x:c r="A23" s="30" t="str">
        <x:v>17</x:v>
      </x:c>
      <x:c r="B23" s="30" t="str">
        <x:v>Limit fronty a oprávnění</x:v>
      </x:c>
      <x:c r="C23" s="30" t="str">
        <x:v>Vyhrazené RPi</x:v>
      </x:c>
      <x:c r="D23" s="30" t="str">
        <x:v>Při výpadku testovacího kolektoru vytvořit více než 2 000 označených událostí. Kontrolovat dropped/pending; stat -c "%a %U" /etc/consolepi/syslog.json /var/lib/consolepi-syslog /var/lib/consolepi-syslog/queue.sqlite3.</x:v>
      </x:c>
      <x:c r="E23" s="30" t="str">
        <x:v>Nejvýše 2 000 zpráv, nejstarší se zahodí a dropped vzroste. Konfigurace a DB 0600, adresář 0700, vlastník root.</x:v>
      </x:c>
      <x:c r="F23" s="30"/>
      <x:c r="G23" s="30" t="str">
        <x:v>☐ Nevyhodnoceno</x:v>
      </x:c>
      <x:c r="H23" s="30" t="str">
        <x:v>Syslog zdrojové rozšíření PR 22; S17 je lokální náhled. Doplnit skutečný důkaz z RPi a kolektoru.</x:v>
      </x:c>
    </x:row>
    <x:row r="24" ht="145" customHeight="1">
      <x:c r="A24" s="30" t="str">
        <x:v>18</x:v>
      </x:c>
      <x:c r="B24" s="30" t="str">
        <x:v>Změna cíle a vypnutí</x:v>
      </x:c>
      <x:c r="C24" s="30" t="str">
        <x:v>Vyhrazené RPi a dva kolektory</x:v>
      </x:c>
      <x:c r="D24" s="30" t="str">
        <x:v>Vytvořit čekající události při výpadku. Uložit jiný cíl a ověřit oba kolektory. Samostatně opakovat změnu severity a vypnutí.</x:v>
      </x:c>
      <x:c r="E24" s="30" t="str">
        <x:v>Každé uložení a vypnutí vyprázdní frontu. Staré zprávy nedorazí na nový cíl. Nově vzniklé povolené zprávy se řídí novou konfigurací.</x:v>
      </x:c>
      <x:c r="F24" s="30"/>
      <x:c r="G24" s="30" t="str">
        <x:v>☐ Nevyhodnoceno</x:v>
      </x:c>
      <x:c r="H24" s="30" t="str">
        <x:v>Syslog zdrojové rozšíření PR 22; S17 je lokální náhled. Doplnit skutečný důkaz z RPi a kolektoru.</x:v>
      </x:c>
    </x:row>
    <x:row r="25" ht="145" customHeight="1">
      <x:c r="A25" s="30" t="str">
        <x:v>19</x:v>
      </x:c>
      <x:c r="B25" s="30" t="str">
        <x:v>Ochrana webového nastavení</x:v>
      </x:c>
      <x:c r="C25" s="30" t="str">
        <x:v>Prohlížeč / testovací klient</x:v>
      </x:c>
      <x:c r="D25" s="30" t="str">
        <x:v>Zkusit POST /system/syslog bez přihlášení, bez/nesprávného CSRF, s nepovolenou akcí, neplatným portem, severity a CA. S přihlášením a správným tokenem uložit platné nastavení.</x:v>
      </x:c>
      <x:c r="E25" s="30" t="str">
        <x:v>Neoprávněné nebo neplatné požadavky nezmění nastavení. Platný požadavek je přijat. Při selhání aktivace se obnoví předchozí konfigurace.</x:v>
      </x:c>
      <x:c r="F25" s="30"/>
      <x:c r="G25" s="30" t="str">
        <x:v>☐ Nevyhodnoceno</x:v>
      </x:c>
      <x:c r="H25" s="30" t="str">
        <x:v>Syslog zdrojové rozšíření PR 22; S17 je lokální náhled. Doplnit skutečný důkaz z RPi a kolektoru.</x:v>
      </x:c>
    </x:row>
    <x:row r="26" ht="145" customHeight="1">
      <x:c r="A26" s="30" t="str">
        <x:v>20</x:v>
      </x:c>
      <x:c r="B26" s="30" t="str">
        <x:v>Reset a sanitizace image</x:v>
      </x:c>
      <x:c r="C26" s="30" t="str">
        <x:v>Vyhrazené testovací médium</x:v>
      </x:c>
      <x:c r="D26" s="30" t="str">
        <x:v>Po záloze a se souhlasem vlastníka testovacího zařízení nastavit cíl, CA a frontu. Samostatně ověřit tovární reset a postup generic image včetně validátoru.</x:v>
      </x:c>
      <x:c r="E26" s="30" t="str">
        <x:v>Cíl a vlastní CA odstraněny, fronta prázdná, syslog vypnutý a služba disabled. Validátor potvrdí čistý stav.</x:v>
      </x:c>
      <x:c r="F26" s="30"/>
      <x:c r="G26" s="30" t="str">
        <x:v>☐ Nevyhodnoceno</x:v>
      </x:c>
      <x:c r="H26" s="30" t="str">
        <x:v>Syslog zdrojové rozšíření PR 22; S17 je lokální náhled. Doplnit skutečný důkaz z RPi a kolektoru.</x:v>
      </x:c>
    </x:row>
    <x:row r="27" ht="145" customHeight="1">
      <x:c r="A27" s="30" t="str">
        <x:v>21</x:v>
      </x:c>
      <x:c r="B27" s="30" t="str">
        <x:v>Záloha a obnova</x:v>
      </x:c>
      <x:c r="C27" s="30" t="str">
        <x:v>Vyhrazené testovací RPi</x:v>
      </x:c>
      <x:c r="D27" s="30" t="str">
        <x:v>Se zapnutým syslogem a frontou vytvořit šifrovanou zálohu. Obnovit ji na testovacím zařízení. Kontrolovat konfiguraci, validaci a nepřenesení starých čekajících událostí.</x:v>
      </x:c>
      <x:c r="E27" s="30" t="str">
        <x:v>Záloha obsahuje konfiguraci, nikoli frontu. Obnova validuje konfiguraci před aktivací; čekající zprávy z původního zařízení se neobnoví.</x:v>
      </x:c>
      <x:c r="F27" s="30"/>
      <x:c r="G27" s="30" t="str">
        <x:v>☐ Nevyhodnoceno</x:v>
      </x:c>
      <x:c r="H27" s="30" t="str">
        <x:v>Syslog zdrojové rozšíření PR 22; S17 je lokální náhled. Doplnit skutečný důkaz z RPi a kolektoru.</x:v>
      </x:c>
    </x:row>
    <x:row r="28" ht="145" customHeight="1">
      <x:c r="A28" s="30" t="str">
        <x:v>22</x:v>
      </x:c>
      <x:c r="B28" s="30" t="str">
        <x:v>Důkaz nasazené verze</x:v>
      </x:c>
      <x:c r="C28" s="30" t="str">
        <x:v>RPi a distribuční soubory</x:v>
      </x:c>
      <x:c r="D28" s="30" t="str">
        <x:v>Zaznamenat VERSION, commit/identifikaci nasazeného balíčku, SHA-256 balíčku a přítomnost syslog služby. Porovnat se zdroji PR 22 a s původním vydáním 2. 10. 2026.</x:v>
      </x:c>
      <x:c r="E28" s="30" t="str">
        <x:v>Důkaz rozlišuje zdrojové rozšíření od původního image 1.9.1 bez syslogu. VERSION samotná nestačí; příjem v kolektoru je doložen zvlášť.</x:v>
      </x:c>
      <x:c r="F28" s="30"/>
      <x:c r="G28" s="30" t="str">
        <x:v>☐ Nevyhodnoceno</x:v>
      </x:c>
      <x:c r="H28" s="30" t="str">
        <x:v>Syslog zdrojové rozšíření PR 22; S17 je lokální náhled. Doplnit skutečný důkaz z RPi a kolektoru.</x:v>
      </x:c>
    </x:row>
  </x:sheetData>
  <x:mergeCells>
    <x:mergeCell ref="A1:H1"/>
    <x:mergeCell ref="A2:H2"/>
  </x:mergeCells>
  <x:conditionalFormatting sqref="G7:G16">
    <x:cfRule type="expression" dxfId="0" priority="1">
      <x:formula>G7="☑ Akceptováno"</x:formula>
    </x:cfRule>
    <x:cfRule type="expression" dxfId="1" priority="2">
      <x:formula>G7="☒ Neakceptováno"</x:formula>
    </x:cfRule>
    <x:cfRule type="expression" dxfId="2" priority="3">
      <x:formula>G7="— N/A"</x:formula>
    </x:cfRule>
  </x:conditionalFormatting>
  <x:conditionalFormatting sqref="G17:G28">
    <x:cfRule type="expression" dxfId="6" priority="4">
      <x:formula>G17="☑ Akceptováno"</x:formula>
    </x:cfRule>
    <x:cfRule type="expression" dxfId="7" priority="5">
      <x:formula>G17="☒ Neakceptováno"</x:formula>
    </x:cfRule>
    <x:cfRule type="expression" dxfId="8" priority="6">
      <x:formula>G17="— N/A"</x:formula>
    </x:cfRule>
  </x:conditionalFormatting>
  <x:dataValidations count="2">
    <x:dataValidation type="list" sqref="G7:G16">
      <x:formula1>"☐ Nevyhodnoceno,☑ Akceptováno,☒ Neakceptováno,— N/A"</x:formula1>
    </x:dataValidation>
    <x:dataValidation type="list" sqref="G17:G28">
      <x:formula1>"☐ Nevyhodnoceno,☑ Akceptováno,☒ Neakceptováno,— N/A"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0" hidden="0" customWidth="1"/>
  </x:cols>
  <x:sheetData>
    <x:row r="1">
      <x:c r="A1" s="39" t="str">
        <x:v>Souhrn akceptace</x:v>
      </x:c>
      <x:c r="B1" s="39"/>
      <x:c r="C1" s="39"/>
      <x:c r="D1" s="39"/>
    </x:row>
    <x:row r="2">
      <x:c r="A2" s="29"/>
      <x:c r="B2" s="29"/>
      <x:c r="C2" s="29"/>
      <x:c r="D2" s="29"/>
    </x:row>
    <x:row r="3">
      <x:c r="A3" s="40" t="str">
        <x:v>Metrika</x:v>
      </x:c>
      <x:c r="B3" s="40" t="str">
        <x:v>Hodnota</x:v>
      </x:c>
      <x:c r="C3" s="29"/>
      <x:c r="D3" s="29"/>
    </x:row>
    <x:row r="4">
      <x:c r="A4" s="29" t="str">
        <x:v>Celkem testů</x:v>
      </x:c>
      <x:c r="B4" s="29" t="n">
        <x:f>COUNTA('Akceptační testy'!A7:A28)</x:f>
        <x:v>22</x:v>
      </x:c>
      <x:c r="C4" s="29"/>
      <x:c r="D4" s="29"/>
    </x:row>
    <x:row r="5">
      <x:c r="A5" s="29" t="str">
        <x:v>Akceptováno</x:v>
      </x:c>
      <x:c r="B5" s="29" t="n">
        <x:f>COUNTIF('Akceptační testy'!G7:G28,"☑ Akceptováno")</x:f>
        <x:v>0</x:v>
      </x:c>
      <x:c r="C5" s="29"/>
      <x:c r="D5" s="29"/>
    </x:row>
    <x:row r="6">
      <x:c r="A6" s="29" t="str">
        <x:v>Neakceptováno</x:v>
      </x:c>
      <x:c r="B6" s="29" t="n">
        <x:f>COUNTIF('Akceptační testy'!G7:G28,"☒ Neakceptováno")</x:f>
        <x:v>0</x:v>
      </x:c>
      <x:c r="C6" s="29"/>
      <x:c r="D6" s="29"/>
    </x:row>
    <x:row r="7">
      <x:c r="A7" s="29" t="str">
        <x:v>N/A</x:v>
      </x:c>
      <x:c r="B7" s="29" t="n">
        <x:f>COUNTIF('Akceptační testy'!G7:G28,"— N/A")</x:f>
        <x:v>0</x:v>
      </x:c>
      <x:c r="C7" s="29"/>
      <x:c r="D7" s="29"/>
    </x:row>
    <x:row r="8">
      <x:c r="A8" s="29" t="str">
        <x:v>Nevyhodnoceno</x:v>
      </x:c>
      <x:c r="B8" s="29" t="n">
        <x:f>COUNTIF('Akceptační testy'!G7:G28,"☐ Nevyhodnoceno")</x:f>
        <x:v>22</x:v>
      </x:c>
      <x:c r="C8" s="29"/>
      <x:c r="D8" s="29"/>
    </x:row>
    <x:row r="9">
      <x:c r="A9" s="29"/>
      <x:c r="B9" s="29"/>
      <x:c r="C9" s="29"/>
      <x:c r="D9" s="29"/>
    </x:row>
    <x:row r="10">
      <x:c r="A10" s="41" t="str">
        <x:v>Celkový stav</x:v>
      </x:c>
      <x:c r="B10" s="42" t="str">
        <x:f>IF(B6&gt;0,"NEAKCEPTOVÁNO",IF(B8&gt;0,"NEVYHODNOCENO",IF(B5+B7=B4,"AKCEPTOVÁNO","KONTROLA")))</x:f>
        <x:v>NEVYHODNOCENO</x:v>
      </x:c>
      <x:c r="C10" s="29"/>
      <x:c r="D10" s="29"/>
    </x:row>
    <x:row r="11">
      <x:c r="A11" s="29"/>
      <x:c r="B11" s="29"/>
      <x:c r="C11" s="29"/>
      <x:c r="D11" s="29"/>
    </x:row>
    <x:row r="12">
      <x:c r="A12" s="40" t="str">
        <x:v>Závěrečné vyjádření auditora</x:v>
      </x:c>
      <x:c r="B12" s="40" t="str"/>
      <x:c r="C12" s="40" t="str"/>
      <x:c r="D12" s="40" t="str"/>
    </x:row>
    <x:row r="13">
      <x:c r="A13" s="29" t="str"/>
      <x:c r="B13" s="29"/>
      <x:c r="C13" s="29"/>
      <x:c r="D13" s="29"/>
    </x:row>
    <x:row r="14">
      <x:c r="A14" s="29"/>
      <x:c r="B14" s="29"/>
      <x:c r="C14" s="29"/>
      <x:c r="D14" s="29"/>
    </x:row>
    <x:row r="15">
      <x:c r="A15" s="29"/>
      <x:c r="B15" s="29"/>
      <x:c r="C15" s="29"/>
      <x:c r="D15" s="29"/>
    </x:row>
    <x:row r="16">
      <x:c r="A16" s="29"/>
      <x:c r="B16" s="29"/>
      <x:c r="C16" s="29"/>
      <x:c r="D16" s="29"/>
    </x:row>
    <x:row r="17">
      <x:c r="A17" s="29"/>
      <x:c r="B17" s="29"/>
      <x:c r="C17" s="29"/>
      <x:c r="D17" s="29"/>
    </x:row>
    <x:row r="18">
      <x:c r="A18" s="29"/>
      <x:c r="B18" s="29"/>
      <x:c r="C18" s="29"/>
      <x:c r="D18" s="29"/>
    </x:row>
    <x:row r="19">
      <x:c r="A19" s="41" t="str">
        <x:v>Datum</x:v>
      </x:c>
      <x:c r="B19" s="29" t="str"/>
      <x:c r="C19" s="41" t="str">
        <x:v>Auditor</x:v>
      </x:c>
      <x:c r="D19" s="29" t="str"/>
    </x:row>
    <x:row r="20">
      <x:c r="A20" s="41" t="str">
        <x:v>Podpis</x:v>
      </x:c>
      <x:c r="B20" s="29" t="str"/>
      <x:c r="C20" s="41" t="str">
        <x:v>Schválil</x:v>
      </x:c>
      <x:c r="D20" s="29" t="str"/>
    </x:row>
  </x:sheetData>
  <x:mergeCells>
    <x:mergeCell ref="A1:D1"/>
    <x:mergeCell ref="A12:D12"/>
    <x:mergeCell ref="A13:D17"/>
  </x:mergeCells>
  <x:conditionalFormatting sqref="B10:B10">
    <x:cfRule type="expression" dxfId="3" priority="1">
      <x:formula>B10="AKCEPTOVÁNO"</x:formula>
    </x:cfRule>
    <x:cfRule type="expression" dxfId="4" priority="2">
      <x:formula>B10="NEAKCEPTOVÁNO"</x:formula>
    </x:cfRule>
    <x:cfRule type="expression" dxfId="5" priority="3">
      <x:formula>B10="NEVYHODNOCENO"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  <x:col min="3" max="3" width="65" hidden="0" customWidth="1"/>
  </x:cols>
  <x:sheetData>
    <x:row r="1">
      <x:c r="A1" s="47" t="str">
        <x:v>Reference a kontrolní hodnoty</x:v>
      </x:c>
      <x:c r="B1" s="47"/>
      <x:c r="C1" s="47"/>
    </x:row>
    <x:row r="3">
      <x:c r="A3" s="40" t="str">
        <x:v>Položka</x:v>
      </x:c>
      <x:c r="B3" s="40" t="str">
        <x:v>Hodnota</x:v>
      </x:c>
      <x:c r="C3" s="40" t="str">
        <x:v>Zdroj</x:v>
      </x:c>
    </x:row>
    <x:row r="4">
      <x:c r="A4" s="29" t="str">
        <x:v>Repozitář</x:v>
      </x:c>
      <x:c r="B4" s="29" t="str">
        <x:v>ConsolePi-Plus</x:v>
      </x:c>
      <x:c r="C4" s="29" t="str">
        <x:v>https://github.com/jiriflos-eng/ConsolePi-Plus</x:v>
      </x:c>
    </x:row>
    <x:row r="5">
      <x:c r="A5" s="29" t="str">
        <x:v>Release</x:v>
      </x:c>
      <x:c r="B5" s="29" t="str">
        <x:v>v1.9.1</x:v>
      </x:c>
      <x:c r="C5" s="29" t="str">
        <x:v>https://github.com/jiriflos-eng/ConsolePi-Plus/releases/tag/v1.9.1</x:v>
      </x:c>
    </x:row>
    <x:row r="6">
      <x:c r="A6" s="29" t="str">
        <x:v>Generic image SHA-256</x:v>
      </x:c>
      <x:c r="B6" s="29" t="str">
        <x:v>91904098f45331d4b68d8837b67de389a06f710429adc7fca4decca4b4aa44e1</x:v>
      </x:c>
      <x:c r="C6" s="29" t="str">
        <x:v>https://github.com/jiriflos-eng/ConsolePi-Plus/releases/tag/v1.9.1</x:v>
      </x:c>
    </x:row>
    <x:row r="7">
      <x:c r="A7" s="29" t="str">
        <x:v>Install archive SHA-256</x:v>
      </x:c>
      <x:c r="B7" s="29" t="str">
        <x:v>e362a12bdf6103716eb62e7ef89e7b5db6589d9c333b9d2ae139a117665d0712</x:v>
      </x:c>
      <x:c r="C7" s="29" t="str">
        <x:v>https://github.com/jiriflos-eng/ConsolePi-Plus/releases/tag/v1.9.1</x:v>
      </x:c>
    </x:row>
    <x:row r="8">
      <x:c r="A8" s="29" t="str">
        <x:v>Posuzovaná verze</x:v>
      </x:c>
      <x:c r="B8" s="29" t="str">
        <x:v>1.9.1</x:v>
      </x:c>
      <x:c r="C8" s="29" t="str">
        <x:v>cat /usr/share/consolepi/VERSION</x:v>
      </x:c>
    </x:row>
    <x:row r="10" ht="24" customHeight="1">
      <x:c r="A10" s="50" t="str">
        <x:v>Obrazová reference k akceptačním testům</x:v>
      </x:c>
      <x:c r="B10" s="50"/>
      <x:c r="C10" s="50"/>
    </x:row>
    <x:row r="11">
      <x:c r="A11" s="53" t="str">
        <x:v>Screenshoty z testovacího RPi 192.168.100.124 ze dne 6. 10. 2026. Web zobrazuje verzi 1.9.1. Obrázky vysvětlují rozhraní; výsledky testů a akceptace zůstávají nevyhodnocené.</x:v>
      </x:c>
      <x:c r="B11" s="53"/>
      <x:c r="C11" s="53"/>
    </x:row>
    <x:row r="12">
      <x:c r="A12" s="53"/>
      <x:c r="B12" s="53"/>
      <x:c r="C12" s="53"/>
    </x:row>
    <x:row r="14" ht="23" customHeight="1">
      <x:c r="A14" s="55" t="str">
        <x:v>S01  Administrační přehled</x:v>
      </x:c>
      <x:c r="B14" s="55"/>
      <x:c r="C14" s="55"/>
    </x:row>
    <x:row r="15">
      <x:c r="A15" s="53" t="str">
        <x:v>Přehled odděluje administrativní SSH na portu 22 a konzolové porty. Na testovacím RPi není připojen USB kabel; šedá karta proto ukazuje nepřiřazenou konzoli. Zdroj: https://192.168.100.124/admin, 6. 10. 2026.</x:v>
      </x:c>
      <x:c r="B15" s="53"/>
      <x:c r="C15" s="53"/>
    </x:row>
    <x:row r="16">
      <x:c r="A16" s="53"/>
      <x:c r="B16" s="53"/>
      <x:c r="C16" s="53"/>
    </x:row>
    <x:row r="17" ht="15" customHeight="1"/>
    <x:row r="18" ht="15" customHeight="1"/>
    <x:row r="19" ht="15" customHeight="1"/>
    <x:row r="20" ht="15" customHeight="1"/>
    <x:row r="21" ht="15" customHeight="1"/>
    <x:row r="22" ht="15" customHeight="1"/>
    <x:row r="23" ht="15" customHeight="1"/>
    <x:row r="24" ht="15" customHeight="1"/>
    <x:row r="25" ht="15" customHeight="1"/>
    <x:row r="26" ht="15" customHeight="1"/>
    <x:row r="27" ht="15" customHeight="1"/>
    <x:row r="28" ht="15" customHeight="1"/>
    <x:row r="29" ht="15" customHeight="1"/>
    <x:row r="30" ht="15" customHeight="1"/>
    <x:row r="31" ht="15" customHeight="1"/>
    <x:row r="32" ht="15" customHeight="1"/>
    <x:row r="33" ht="15" customHeight="1"/>
    <x:row r="34" ht="15" customHeight="1"/>
    <x:row r="35" ht="15" customHeight="1"/>
    <x:row r="36" ht="15" customHeight="1"/>
    <x:row r="37" ht="15" customHeight="1"/>
    <x:row r="38" ht="15" customHeight="1"/>
    <x:row r="39" ht="15" customHeight="1"/>
    <x:row r="40" ht="15" customHeight="1"/>
    <x:row r="41" ht="15" customHeight="1"/>
    <x:row r="42" ht="15" customHeight="1"/>
    <x:row r="43" ht="15" customHeight="1"/>
    <x:row r="44" ht="15" customHeight="1"/>
    <x:row r="47" ht="23" customHeight="1">
      <x:c r="A47" s="55" t="str">
        <x:v>S02  Management síť</x:v>
      </x:c>
      <x:c r="B47" s="55"/>
      <x:c r="C47" s="55"/>
    </x:row>
    <x:row r="48">
      <x:c r="A48" s="53" t="str">
        <x:v>Stav Ethernetu uvádí statickou adresu 192.168.100.124/24, bránu a DNS. Tyto údaje slouží k identifikaci posuzovaného zařízení a jeho segmentu. Zdroj: https://192.168.100.124/admin?tab=network, 6. 10. 2026.</x:v>
      </x:c>
      <x:c r="B48" s="53"/>
      <x:c r="C48" s="53"/>
    </x:row>
    <x:row r="49">
      <x:c r="A49" s="53"/>
      <x:c r="B49" s="53"/>
      <x:c r="C49" s="53"/>
    </x:row>
    <x:row r="50" ht="15" customHeight="1"/>
    <x:row r="51" ht="15" customHeight="1"/>
    <x:row r="52" ht="15" customHeight="1"/>
    <x:row r="53" ht="15" customHeight="1"/>
    <x:row r="54" ht="15" customHeight="1"/>
    <x:row r="55" ht="15" customHeight="1"/>
    <x:row r="56" ht="15" customHeight="1"/>
    <x:row r="57" ht="15" customHeight="1"/>
    <x:row r="58" ht="15" customHeight="1"/>
    <x:row r="59" ht="15" customHeight="1"/>
    <x:row r="60" ht="15" customHeight="1"/>
    <x:row r="61" ht="15" customHeight="1"/>
    <x:row r="62" ht="15" customHeight="1"/>
    <x:row r="63" ht="15" customHeight="1"/>
    <x:row r="64" ht="15" customHeight="1"/>
    <x:row r="65" ht="15" customHeight="1"/>
    <x:row r="66" ht="15" customHeight="1"/>
    <x:row r="69" ht="23" customHeight="1">
      <x:c r="A69" s="55" t="str">
        <x:v>S03  Povolené zdroje přístupu</x:v>
      </x:c>
      <x:c r="B69" s="55"/>
      <x:c r="C69" s="55"/>
    </x:row>
    <x:row r="70">
      <x:c r="A70" s="53" t="str">
        <x:v>Webový seznam obsahuje síť 192.168.100.0/24. Omezuje přístup k HTTPS, administrativnímu SSH a konzolím; skutečné vynucení pravidel je nutné ověřit pomocí nftables a síťového testu. Zdroj: https://192.168.100.124/admin?tab=network, 6. 10. 2026.</x:v>
      </x:c>
      <x:c r="B70" s="53"/>
      <x:c r="C70" s="53"/>
    </x:row>
    <x:row r="71">
      <x:c r="A71" s="53"/>
      <x:c r="B71" s="53"/>
      <x:c r="C71" s="53"/>
    </x:row>
    <x:row r="72" ht="15" customHeight="1"/>
    <x:row r="73" ht="15" customHeight="1"/>
    <x:row r="74" ht="15" customHeight="1"/>
    <x:row r="75" ht="15" customHeight="1"/>
    <x:row r="76" ht="15" customHeight="1"/>
    <x:row r="77" ht="15" customHeight="1"/>
    <x:row r="78" ht="15" customHeight="1"/>
    <x:row r="79" ht="15" customHeight="1"/>
    <x:row r="80" ht="15" customHeight="1"/>
    <x:row r="81" ht="15" customHeight="1"/>
    <x:row r="82" ht="15" customHeight="1"/>
    <x:row r="83" ht="15" customHeight="1"/>
    <x:row r="84" ht="15" customHeight="1"/>
    <x:row r="85" ht="15" customHeight="1"/>
    <x:row r="86" ht="15" customHeight="1"/>
    <x:row r="87" ht="15" customHeight="1"/>
    <x:row r="88" ht="15" customHeight="1"/>
    <x:row r="89" ht="15" customHeight="1"/>
    <x:row r="90" ht="15" customHeight="1"/>
    <x:row r="91" ht="15" customHeight="1"/>
    <x:row r="92" ht="15" customHeight="1"/>
    <x:row r="93" ht="15" customHeight="1"/>
    <x:row r="94" ht="15" customHeight="1"/>
    <x:row r="95" ht="15" customHeight="1"/>
    <x:row r="98" ht="23" customHeight="1">
      <x:c r="A98" s="55" t="str">
        <x:v>S04  Zdroje systémových balíčků</x:v>
      </x:c>
      <x:c r="B98" s="55"/>
      <x:c r="C98" s="55"/>
    </x:row>
    <x:row r="99">
      <x:c r="A99" s="53" t="str">
        <x:v>Vybrány jsou oficiální Debian a Raspberry Pi repozitáře. Panel nabízí ověření zdroje před uložením; screenshot neprokazuje obsah ani integritu stažených balíčků. Zdroj: https://192.168.100.124/admin?tab=network, 6. 10. 2026.</x:v>
      </x:c>
      <x:c r="B99" s="53"/>
      <x:c r="C99" s="53"/>
    </x:row>
    <x:row r="100">
      <x:c r="A100" s="53"/>
      <x:c r="B100" s="53"/>
      <x:c r="C100" s="53"/>
    </x:row>
    <x:row r="101" ht="15" customHeight="1"/>
    <x:row r="102" ht="15" customHeight="1"/>
    <x:row r="103" ht="15" customHeight="1"/>
    <x:row r="104" ht="15" customHeight="1"/>
    <x:row r="105" ht="15" customHeight="1"/>
    <x:row r="106" ht="15" customHeight="1"/>
    <x:row r="107" ht="15" customHeight="1"/>
    <x:row r="108" ht="15" customHeight="1"/>
    <x:row r="109" ht="15" customHeight="1"/>
    <x:row r="110" ht="15" customHeight="1"/>
    <x:row r="111" ht="15" customHeight="1"/>
    <x:row r="112" ht="15" customHeight="1"/>
    <x:row r="113" ht="15" customHeight="1"/>
    <x:row r="114" ht="15" customHeight="1"/>
    <x:row r="115" ht="15" customHeight="1"/>
    <x:row r="116" ht="15" customHeight="1"/>
    <x:row r="119" ht="23" customHeight="1">
      <x:c r="A119" s="55" t="str">
        <x:v>S05  Volitelný dohled SNMPv3</x:v>
      </x:c>
      <x:c r="B119" s="55"/>
      <x:c r="C119" s="55"/>
    </x:row>
    <x:row r="120">
      <x:c r="A120" s="53" t="str">
        <x:v>SNMPv3 je vypnuté. Formulář rozlišuje autentizační heslo SHA-256 a šifrovací heslo AES a uvádí vazbu UDP/161 na povolené zdroje. Zobrazené příklady jsou nápověda prázdných polí. Zdroj: https://192.168.100.124/admin?tab=network#snmpv3, 6. 10. 2026.</x:v>
      </x:c>
      <x:c r="B120" s="53"/>
      <x:c r="C120" s="53"/>
    </x:row>
    <x:row r="121">
      <x:c r="A121" s="53"/>
      <x:c r="B121" s="53"/>
      <x:c r="C121" s="53"/>
    </x:row>
    <x:row r="122" ht="15" customHeight="1"/>
    <x:row r="123" ht="15" customHeight="1"/>
    <x:row r="124" ht="15" customHeight="1"/>
    <x:row r="125" ht="15" customHeight="1"/>
    <x:row r="126" ht="15" customHeight="1"/>
    <x:row r="127" ht="15" customHeight="1"/>
    <x:row r="128" ht="15" customHeight="1"/>
    <x:row r="129" ht="15" customHeight="1"/>
    <x:row r="130" ht="15" customHeight="1"/>
    <x:row r="131" ht="15" customHeight="1"/>
    <x:row r="132" ht="15" customHeight="1"/>
    <x:row r="133" ht="15" customHeight="1"/>
    <x:row r="134" ht="15" customHeight="1"/>
    <x:row r="135" ht="15" customHeight="1"/>
    <x:row r="136" ht="15" customHeight="1"/>
    <x:row r="137" ht="15" customHeight="1"/>
    <x:row r="138" ht="15" customHeight="1"/>
    <x:row r="139" ht="15" customHeight="1"/>
    <x:row r="140" ht="15" customHeight="1"/>
    <x:row r="141" ht="15" customHeight="1"/>
    <x:row r="142" ht="15" customHeight="1"/>
    <x:row r="143" ht="15" customHeight="1"/>
    <x:row r="144" ht="15" customHeight="1"/>
    <x:row r="145" ht="15" customHeight="1"/>
    <x:row r="146" ht="15" customHeight="1"/>
    <x:row r="147" ht="15" customHeight="1"/>
    <x:row r="150" ht="23" customHeight="1">
      <x:c r="A150" s="55" t="str">
        <x:v>S06  Autentizace konzolových portů</x:v>
      </x:c>
      <x:c r="B150" s="55"/>
      <x:c r="C150" s="55"/>
    </x:row>
    <x:row r="151">
      <x:c r="A151" s="53" t="str">
        <x:v>Aktivní je SSH klíč pro technický účet console. Volby lokálního hesla a RADIUS se týkají konzolových portů 2201–2204; administrativní SSH port 22 je spravován odděleně. Zdroj: https://192.168.100.124/authentication, 6. 10. 2026.</x:v>
      </x:c>
      <x:c r="B151" s="53"/>
      <x:c r="C151" s="53"/>
    </x:row>
    <x:row r="152">
      <x:c r="A152" s="53"/>
      <x:c r="B152" s="53"/>
      <x:c r="C152" s="53"/>
    </x:row>
    <x:row r="153" ht="15" customHeight="1"/>
    <x:row r="154" ht="15" customHeight="1"/>
    <x:row r="155" ht="15" customHeight="1"/>
    <x:row r="156" ht="15" customHeight="1"/>
    <x:row r="157" ht="15" customHeight="1"/>
    <x:row r="158" ht="15" customHeight="1"/>
    <x:row r="159" ht="15" customHeight="1"/>
    <x:row r="160" ht="15" customHeight="1"/>
    <x:row r="161" ht="15" customHeight="1"/>
    <x:row r="162" ht="15" customHeight="1"/>
    <x:row r="163" ht="15" customHeight="1"/>
    <x:row r="164" ht="15" customHeight="1"/>
    <x:row r="165" ht="15" customHeight="1"/>
    <x:row r="166" ht="15" customHeight="1"/>
    <x:row r="167" ht="15" customHeight="1"/>
    <x:row r="168" ht="15" customHeight="1"/>
    <x:row r="169" ht="15" customHeight="1"/>
    <x:row r="170" ht="15" customHeight="1"/>
    <x:row r="171" ht="15" customHeight="1"/>
    <x:row r="172" ht="15" customHeight="1"/>
    <x:row r="173" ht="15" customHeight="1"/>
    <x:row r="174" ht="15" customHeight="1"/>
    <x:row r="175" ht="15" customHeight="1"/>
    <x:row r="176" ht="15" customHeight="1"/>
    <x:row r="179" ht="23" customHeight="1">
      <x:c r="A179" s="55" t="str">
        <x:v>S07  Platforma a stav služeb</x:v>
      </x:c>
      <x:c r="B179" s="55"/>
      <x:c r="C179" s="55"/>
    </x:row>
    <x:row r="180">
      <x:c r="A180" s="53" t="str">
        <x:v>Web uvádí Raspberry Pi 3 B+, Debian 13 a aktivní ssh, nginx, consolepi-web, consolepi-port-monitor a nftables. snmpd je neaktivní. Naslouchající adresy a oprávnění služeb vyžadují samostatnou kontrolu OS. Zdroj: https://192.168.100.124/system, 6. 10. 2026.</x:v>
      </x:c>
      <x:c r="B180" s="53"/>
      <x:c r="C180" s="53"/>
    </x:row>
    <x:row r="181">
      <x:c r="A181" s="53"/>
      <x:c r="B181" s="53"/>
      <x:c r="C181" s="53"/>
    </x:row>
    <x:row r="182" ht="15" customHeight="1"/>
    <x:row r="183" ht="15" customHeight="1"/>
    <x:row r="184" ht="15" customHeight="1"/>
    <x:row r="185" ht="15" customHeight="1"/>
    <x:row r="186" ht="15" customHeight="1"/>
    <x:row r="187" ht="15" customHeight="1"/>
    <x:row r="188" ht="15" customHeight="1"/>
    <x:row r="189" ht="15" customHeight="1"/>
    <x:row r="190" ht="15" customHeight="1"/>
    <x:row r="191" ht="15" customHeight="1"/>
    <x:row r="192" ht="15" customHeight="1"/>
    <x:row r="193" ht="15" customHeight="1"/>
    <x:row r="194" ht="15" customHeight="1"/>
    <x:row r="195" ht="15" customHeight="1"/>
    <x:row r="196" ht="15" customHeight="1"/>
    <x:row r="197" ht="15" customHeight="1"/>
    <x:row r="198" ht="15" customHeight="1"/>
    <x:row r="199" ht="15" customHeight="1"/>
    <x:row r="200" ht="15" customHeight="1"/>
    <x:row r="201" ht="15" customHeight="1"/>
    <x:row r="202" ht="15" customHeight="1"/>
    <x:row r="203" ht="15" customHeight="1"/>
    <x:row r="204" ht="15" customHeight="1"/>
    <x:row r="207" ht="23" customHeight="1">
      <x:c r="A207" s="55" t="str">
        <x:v>S08  HTTPS certifikát</x:v>
      </x:c>
      <x:c r="B207" s="55"/>
      <x:c r="C207" s="55"/>
    </x:row>
    <x:row r="208">
      <x:c r="A208" s="53" t="str">
        <x:v>Testovací RPi používá vlastní podepsaný certifikát CN=consolepi. Správa umožňuje nahrát firemní certifikát. Platnost certifikátu na obrázku neprokazuje důvěryhodnost ani povolené verze TLS. Zdroj: https://192.168.100.124/system?section=security, 6. 10. 2026.</x:v>
      </x:c>
      <x:c r="B208" s="53"/>
      <x:c r="C208" s="53"/>
    </x:row>
    <x:row r="209">
      <x:c r="A209" s="53"/>
      <x:c r="B209" s="53"/>
      <x:c r="C209" s="53"/>
    </x:row>
    <x:row r="210" ht="15" customHeight="1"/>
    <x:row r="211" ht="15" customHeight="1"/>
    <x:row r="212" ht="15" customHeight="1"/>
    <x:row r="213" ht="15" customHeight="1"/>
    <x:row r="214" ht="15" customHeight="1"/>
    <x:row r="215" ht="15" customHeight="1"/>
    <x:row r="216" ht="15" customHeight="1"/>
    <x:row r="217" ht="15" customHeight="1"/>
    <x:row r="218" ht="15" customHeight="1"/>
    <x:row r="219" ht="15" customHeight="1"/>
    <x:row r="220" ht="15" customHeight="1"/>
    <x:row r="221" ht="15" customHeight="1"/>
    <x:row r="222" ht="15" customHeight="1"/>
    <x:row r="223" ht="15" customHeight="1"/>
    <x:row r="224" ht="15" customHeight="1"/>
    <x:row r="225" ht="15" customHeight="1"/>
    <x:row r="226" ht="15" customHeight="1"/>
    <x:row r="227" ht="15" customHeight="1"/>
    <x:row r="228" ht="15" customHeight="1"/>
    <x:row r="229" ht="15" customHeight="1"/>
    <x:row r="230" ht="15" customHeight="1"/>
    <x:row r="233" ht="23" customHeight="1">
      <x:c r="A233" s="55" t="str">
        <x:v>S09  Rozsah logování a retence</x:v>
      </x:c>
      <x:c r="B233" s="55"/>
      <x:c r="C233" s="55"/>
    </x:row>
    <x:row r="234">
      <x:c r="A234" s="53" t="str">
        <x:v>Aktivní režim je Pouze události bez obsahu terminálu, retence 30 dní a celkový limit 256 MB. Volbu rozsahu záznamu je nutné posoudit kvůli možnému ukládání citlivých údajů. Zdroj: https://192.168.100.124/system?section=logs, 6. 10. 2026.</x:v>
      </x:c>
      <x:c r="B234" s="53"/>
      <x:c r="C234" s="53"/>
    </x:row>
    <x:row r="235">
      <x:c r="A235" s="53"/>
      <x:c r="B235" s="53"/>
      <x:c r="C235" s="53"/>
    </x:row>
    <x:row r="236" ht="15" customHeight="1"/>
    <x:row r="237" ht="15" customHeight="1"/>
    <x:row r="238" ht="15" customHeight="1"/>
    <x:row r="239" ht="15" customHeight="1"/>
    <x:row r="240" ht="15" customHeight="1"/>
    <x:row r="241" ht="15" customHeight="1"/>
    <x:row r="242" ht="15" customHeight="1"/>
    <x:row r="243" ht="15" customHeight="1"/>
    <x:row r="244" ht="15" customHeight="1"/>
    <x:row r="245" ht="15" customHeight="1"/>
    <x:row r="246" ht="15" customHeight="1"/>
    <x:row r="247" ht="15" customHeight="1"/>
    <x:row r="248" ht="15" customHeight="1"/>
    <x:row r="249" ht="15" customHeight="1"/>
    <x:row r="250" ht="15" customHeight="1"/>
    <x:row r="251" ht="15" customHeight="1"/>
    <x:row r="252" ht="15" customHeight="1"/>
    <x:row r="253" ht="15" customHeight="1"/>
    <x:row r="254" ht="15" customHeight="1"/>
    <x:row r="255" ht="15" customHeight="1"/>
    <x:row r="256" ht="15" customHeight="1"/>
    <x:row r="257" ht="15" customHeight="1"/>
    <x:row r="258" ht="15" customHeight="1"/>
    <x:row r="259" ht="15" customHeight="1"/>
    <x:row r="260" ht="15" customHeight="1"/>
    <x:row r="261" ht="15" customHeight="1"/>
    <x:row r="262">
      <x:c r="A262" s="58" t="str">
        <x:v>K ověření: web nabízí také Úplný obousměrný přepis – rizikové. Dokumenty uvádějí, že vstup operátora se nezaznamenává. Ověřte shodu posuzované instalace s vydáním 1.9.1 a skutečný rozsah logování.</x:v>
      </x:c>
      <x:c r="B262" s="58"/>
      <x:c r="C262" s="58"/>
    </x:row>
    <x:row r="263">
      <x:c r="A263" s="58"/>
      <x:c r="B263" s="58"/>
      <x:c r="C263" s="58"/>
    </x:row>
    <x:row r="265" ht="23" customHeight="1">
      <x:c r="A265" s="55" t="str">
        <x:v>S10  Šifrovaná záloha a obnova</x:v>
      </x:c>
      <x:c r="B265" s="55"/>
      <x:c r="C265" s="55"/>
    </x:row>
    <x:row r="266">
      <x:c r="A266" s="53" t="str">
        <x:v>Formulář odděluje šifrovanou zálohu, obnovu a diagnostiku. Zahrnutí hesel a privátních klíčů není zaškrtnuté. Obnova vyžaduje heslo a potvrzení OBNOVIT; žádná záloha ani obnova nebyla při pořizování spuštěna. Zdroj: https://192.168.100.124/system?section=backup, 6. 10. 2026.</x:v>
      </x:c>
      <x:c r="B266" s="53"/>
      <x:c r="C266" s="53"/>
    </x:row>
    <x:row r="267">
      <x:c r="A267" s="53"/>
      <x:c r="B267" s="53"/>
      <x:c r="C267" s="53"/>
    </x:row>
    <x:row r="268" ht="15" customHeight="1"/>
    <x:row r="269" ht="15" customHeight="1"/>
    <x:row r="270" ht="15" customHeight="1"/>
    <x:row r="271" ht="15" customHeight="1"/>
    <x:row r="272" ht="15" customHeight="1"/>
    <x:row r="273" ht="15" customHeight="1"/>
    <x:row r="274" ht="15" customHeight="1"/>
    <x:row r="275" ht="15" customHeight="1"/>
    <x:row r="276" ht="15" customHeight="1"/>
    <x:row r="277" ht="15" customHeight="1"/>
    <x:row r="278" ht="15" customHeight="1"/>
    <x:row r="279" ht="15" customHeight="1"/>
    <x:row r="280" ht="15" customHeight="1"/>
    <x:row r="281" ht="15" customHeight="1"/>
    <x:row r="282" ht="15" customHeight="1"/>
    <x:row r="283" ht="15" customHeight="1"/>
    <x:row r="284" ht="15" customHeight="1"/>
    <x:row r="285" ht="15" customHeight="1"/>
    <x:row r="286" ht="15" customHeight="1"/>
    <x:row r="287" ht="15" customHeight="1"/>
    <x:row r="288" ht="15" customHeight="1"/>
    <x:row r="289" ht="15" customHeight="1"/>
    <x:row r="290" ht="15" customHeight="1"/>
    <x:row r="291" ht="15" customHeight="1"/>
    <x:row r="292" ht="15" customHeight="1"/>
    <x:row r="293" ht="15" customHeight="1"/>
    <x:row r="294" ht="15" customHeight="1"/>
    <x:row r="297" ht="23" customHeight="1">
      <x:c r="A297" s="55" t="str">
        <x:v>S11  Ověření aplikačního balíčku</x:v>
      </x:c>
      <x:c r="B297" s="55"/>
      <x:c r="C297" s="55"/>
    </x:row>
    <x:row r="298">
      <x:c r="A298" s="53" t="str">
        <x:v>Aktualizace ConsolePi+ začíná nahráním souboru .cpiupdate a jeho ověřením. Zobrazený formulář popisuje kontrolu podpisu a součtu; funkčnost odmítnutí neplatného balíčku vyžaduje test. Zdroj: https://192.168.100.124/system?section=maintenance, 6. 10. 2026.</x:v>
      </x:c>
      <x:c r="B298" s="53"/>
      <x:c r="C298" s="53"/>
    </x:row>
    <x:row r="299">
      <x:c r="A299" s="53"/>
      <x:c r="B299" s="53"/>
      <x:c r="C299" s="53"/>
    </x:row>
    <x:row r="300" ht="15" customHeight="1"/>
    <x:row r="301" ht="15" customHeight="1"/>
    <x:row r="302" ht="15" customHeight="1"/>
    <x:row r="303" ht="15" customHeight="1"/>
    <x:row r="304" ht="15" customHeight="1"/>
    <x:row r="305" ht="15" customHeight="1"/>
    <x:row r="306" ht="15" customHeight="1"/>
    <x:row r="307" ht="15" customHeight="1"/>
    <x:row r="308" ht="15" customHeight="1"/>
    <x:row r="309" ht="15" customHeight="1"/>
    <x:row r="310" ht="15" customHeight="1"/>
    <x:row r="311" ht="15" customHeight="1"/>
    <x:row r="314" ht="23" customHeight="1">
      <x:c r="A314" s="55" t="str">
        <x:v>S12  Stav aktualizací operačního systému</x:v>
      </x:c>
      <x:c r="B314" s="55"/>
      <x:c r="C314" s="55"/>
    </x:row>
    <x:row r="315">
      <x:c r="A315" s="53" t="str">
        <x:v>Panel OS uvádí stav z poslední kontroly 6. 10. 2026 v 06:41:52 UTC. Jde o okamžitý výsledek kontroly zdrojů APT; instalace a provozní schválení oprav jsou samostatné kroky. Zdroj: https://192.168.100.124/system?section=maintenance, 6. 10. 2026.</x:v>
      </x:c>
      <x:c r="B315" s="53"/>
      <x:c r="C315" s="53"/>
    </x:row>
    <x:row r="316">
      <x:c r="A316" s="53"/>
      <x:c r="B316" s="53"/>
      <x:c r="C316" s="53"/>
    </x:row>
    <x:row r="317" ht="15" customHeight="1"/>
    <x:row r="318" ht="15" customHeight="1"/>
    <x:row r="319" ht="15" customHeight="1"/>
    <x:row r="320" ht="15" customHeight="1"/>
    <x:row r="321" ht="15" customHeight="1"/>
    <x:row r="322" ht="15" customHeight="1"/>
    <x:row r="323" ht="15" customHeight="1"/>
    <x:row r="324" ht="15" customHeight="1"/>
    <x:row r="325" ht="15" customHeight="1"/>
    <x:row r="326" ht="15" customHeight="1"/>
    <x:row r="327" ht="15" customHeight="1"/>
    <x:row r="328" ht="15" customHeight="1"/>
    <x:row r="331" ht="23" customHeight="1">
      <x:c r="A331" s="55" t="str">
        <x:v>S13  Regenerace identity zařízení</x:v>
      </x:c>
      <x:c r="B331" s="55"/>
      <x:c r="C331" s="55"/>
    </x:row>
    <x:row r="332">
      <x:c r="A332" s="53" t="str">
        <x:v>Regenerace SSH hostitelských klíčů a HTTPS certifikátu má samostatné potvrzení KLONOVAT. Obrázek ukazuje místo této operace; při dokumentování nebyla spuštěna. Zdroj: https://192.168.100.124/system?section=maintenance, 6. 10. 2026.</x:v>
      </x:c>
      <x:c r="B332" s="53"/>
      <x:c r="C332" s="53"/>
    </x:row>
    <x:row r="333">
      <x:c r="A333" s="53"/>
      <x:c r="B333" s="53"/>
      <x:c r="C333" s="53"/>
    </x:row>
    <x:row r="334" ht="15" customHeight="1"/>
    <x:row r="335" ht="15" customHeight="1"/>
    <x:row r="336" ht="15" customHeight="1"/>
    <x:row r="337" ht="15" customHeight="1"/>
    <x:row r="338" ht="15" customHeight="1"/>
    <x:row r="339" ht="15" customHeight="1"/>
    <x:row r="340" ht="15" customHeight="1"/>
    <x:row r="341" ht="15" customHeight="1"/>
    <x:row r="342" ht="15" customHeight="1"/>
    <x:row r="343" ht="15" customHeight="1"/>
    <x:row r="344" ht="15" customHeight="1"/>
    <x:row r="345" ht="15" customHeight="1"/>
    <x:row r="348" ht="23" customHeight="1">
      <x:c r="A348" s="55" t="str">
        <x:v>S14  Detail sériové konzole</x:v>
      </x:c>
      <x:c r="B348" s="55"/>
      <x:c r="C348" s="55"/>
    </x:row>
    <x:row r="349">
      <x:c r="A349" s="53" t="str">
        <x:v>Port 2201 používá účet console a stabilní cestu /dev/consolepi/unassigned-1. Stav Offline odpovídá nepřiřazenému USB kabelu. Vynucení ForceCommand a zákaz tunelů tento formulář neověřuje. Zdroj: https://192.168.100.124/serial/2201, 6. 10. 2026.</x:v>
      </x:c>
      <x:c r="B349" s="53"/>
      <x:c r="C349" s="53"/>
    </x:row>
    <x:row r="350">
      <x:c r="A350" s="53"/>
      <x:c r="B350" s="53"/>
      <x:c r="C350" s="53"/>
    </x:row>
    <x:row r="351" ht="15" customHeight="1"/>
    <x:row r="352" ht="15" customHeight="1"/>
    <x:row r="353" ht="15" customHeight="1"/>
    <x:row r="354" ht="15" customHeight="1"/>
    <x:row r="355" ht="15" customHeight="1"/>
    <x:row r="356" ht="15" customHeight="1"/>
    <x:row r="357" ht="15" customHeight="1"/>
    <x:row r="358" ht="15" customHeight="1"/>
    <x:row r="359" ht="15" customHeight="1"/>
    <x:row r="360" ht="15" customHeight="1"/>
    <x:row r="361" ht="15" customHeight="1"/>
    <x:row r="362" ht="15" customHeight="1"/>
    <x:row r="363" ht="15" customHeight="1"/>
    <x:row r="364" ht="15" customHeight="1"/>
    <x:row r="365" ht="15" customHeight="1"/>
    <x:row r="366" ht="15" customHeight="1"/>
    <x:row r="367" ht="15" customHeight="1"/>
    <x:row r="368" ht="15" customHeight="1"/>
    <x:row r="369" ht="15" customHeight="1"/>
    <x:row r="370" ht="15" customHeight="1"/>
    <x:row r="371" ht="15" customHeight="1"/>
    <x:row r="372" ht="15" customHeight="1"/>
    <x:row r="373" ht="15" customHeight="1"/>
    <x:row r="374" ht="15" customHeight="1"/>
    <x:row r="375" ht="15" customHeight="1"/>
    <x:row r="376" ht="15" customHeight="1"/>
    <x:row r="377" ht="15" customHeight="1"/>
    <x:row r="378" ht="15" customHeight="1"/>
    <x:row r="379" ht="15" customHeight="1"/>
    <x:row r="380" ht="15" customHeight="1"/>
    <x:row r="381" ht="15" customHeight="1"/>
    <x:row r="382" ht="15" customHeight="1"/>
    <x:row r="383" ht="15" customHeight="1"/>
    <x:row r="384" ht="15" customHeight="1"/>
    <x:row r="387" ht="23" customHeight="1">
      <x:c r="A387" s="55" t="str">
        <x:v>S15  Veřejná stavová stránka</x:v>
      </x:c>
      <x:c r="B387" s="55"/>
      <x:c r="C387" s="55"/>
    </x:row>
    <x:row r="388">
      <x:c r="A388" s="53" t="str">
        <x:v>Stavová stránka zobrazuje model RPi, management IP a porty se stavy konzolí. Auditor posoudí přípustnost zveřejněných údajů a dostupnost stránky z jednotlivých síťových segmentů. Zdroj: https://192.168.100.124/, 6. 10. 2026.</x:v>
      </x:c>
      <x:c r="B388" s="53"/>
      <x:c r="C388" s="53"/>
    </x:row>
    <x:row r="389">
      <x:c r="A389" s="53"/>
      <x:c r="B389" s="53"/>
      <x:c r="C389" s="53"/>
    </x:row>
    <x:row r="390" ht="15" customHeight="1"/>
    <x:row r="391" ht="15" customHeight="1"/>
    <x:row r="392" ht="15" customHeight="1"/>
    <x:row r="393" ht="15" customHeight="1"/>
    <x:row r="394" ht="15" customHeight="1"/>
    <x:row r="395" ht="15" customHeight="1"/>
    <x:row r="396" ht="15" customHeight="1"/>
    <x:row r="397" ht="15" customHeight="1"/>
    <x:row r="398" ht="15" customHeight="1"/>
    <x:row r="399" ht="15" customHeight="1"/>
    <x:row r="400" ht="15" customHeight="1"/>
    <x:row r="401" ht="15" customHeight="1"/>
    <x:row r="402" ht="15" customHeight="1"/>
    <x:row r="403" ht="15" customHeight="1"/>
    <x:row r="404" ht="15" customHeight="1"/>
    <x:row r="405" ht="15" customHeight="1"/>
    <x:row r="406" ht="15" customHeight="1"/>
    <x:row r="407" ht="15" customHeight="1"/>
    <x:row r="408" ht="15" customHeight="1"/>
    <x:row r="409" ht="15" customHeight="1"/>
    <x:row r="410" ht="15" customHeight="1"/>
    <x:row r="411" ht="15" customHeight="1"/>
    <x:row r="412" ht="15" customHeight="1"/>
    <x:row r="413" ht="15" customHeight="1"/>
    <x:row r="414" ht="15" customHeight="1"/>
    <x:row r="415" ht="15" customHeight="1"/>
    <x:row r="416" ht="15" customHeight="1"/>
    <x:row r="417" ht="15" customHeight="1"/>
    <x:row r="418" ht="15" customHeight="1"/>
    <x:row r="419" ht="15" customHeight="1"/>
    <x:row r="420" ht="15" customHeight="1"/>
    <x:row r="421" ht="15" customHeight="1"/>
    <x:row r="422" ht="15" customHeight="1"/>
    <x:row r="423" ht="15" customHeight="1"/>
    <x:row r="424" ht="15" customHeight="1"/>
    <x:row r="425" ht="15" customHeight="1"/>
    <x:row r="426" ht="15" customHeight="1"/>
    <x:row r="427" ht="15" customHeight="1"/>
    <x:row r="428" ht="15" customHeight="1"/>
    <x:row r="431" ht="23" customHeight="1">
      <x:c r="A431" s="55" t="str">
        <x:v>S16  Samostatné heslo webové správy</x:v>
      </x:c>
      <x:c r="B431" s="55"/>
      <x:c r="C431" s="55"/>
    </x:row>
    <x:row r="432">
      <x:c r="A432" s="53" t="str">
        <x:v>Změna hesla webu má samostatný formulář a neovlivňuje SSH ani RADIUS. Pole jsou prázdná; screenshot neobsahuje heslo a změna nebyla spuštěna. Zdroj: https://192.168.100.124/system?section=security, 6. 10. 2026.</x:v>
      </x:c>
      <x:c r="B432" s="53"/>
      <x:c r="C432" s="53"/>
    </x:row>
    <x:row r="433">
      <x:c r="A433" s="53"/>
      <x:c r="B433" s="53"/>
      <x:c r="C433" s="53"/>
    </x:row>
    <x:row r="434" ht="15" customHeight="1"/>
    <x:row r="435" ht="15" customHeight="1"/>
    <x:row r="436" ht="15" customHeight="1"/>
    <x:row r="437" ht="15" customHeight="1"/>
    <x:row r="438" ht="15" customHeight="1"/>
    <x:row r="439" ht="15" customHeight="1"/>
    <x:row r="440" ht="15" customHeight="1"/>
    <x:row r="441" ht="15" customHeight="1"/>
    <x:row r="442" ht="15" customHeight="1"/>
    <x:row r="443" ht="15" customHeight="1"/>
    <x:row r="444" ht="15" customHeight="1"/>
    <x:row r="445" ht="15" customHeight="1"/>
    <x:row r="460" ht="26" customHeight="1">
      <x:c r="A460" s="59" t="str">
        <x:v>Syslog rozšíření zdrojů 1.9.1 doplněno 8. 10. 2026</x:v>
      </x:c>
      <x:c r="B460" s="59"/>
      <x:c r="C460" s="59"/>
    </x:row>
    <x:row r="461" ht="24" customHeight="1">
      <x:c r="A461" s="61" t="str">
        <x:v>S17 je lokální náhled šablony, nikoli snímek nasazené funkce na RPi. Původní image a archivy z 2. 10. 2026 syslog neobsahují. Místně prošlo 14 kontrol backendu a 6 kontrol webu; akceptační testy 11–22 zůstávají Nevyhodnoceno.</x:v>
      </x:c>
      <x:c r="B461" s="61"/>
      <x:c r="C461" s="61"/>
    </x:row>
    <x:row r="462" ht="24" customHeight="1">
      <x:c r="A462" s="61"/>
      <x:c r="B462" s="61"/>
      <x:c r="C462" s="61"/>
    </x:row>
    <x:row r="463" ht="24" customHeight="1">
      <x:c r="A463" s="61"/>
      <x:c r="B463" s="61"/>
      <x:c r="C463" s="61"/>
    </x:row>
    <x:row r="465" ht="45" customHeight="1">
      <x:c r="A465" s="61" t="str">
        <x:v>Specifikace</x:v>
      </x:c>
      <x:c r="B465" s="61" t="str">
        <x:v>Vzdálený syslog</x:v>
      </x:c>
      <x:c r="C465" s="61" t="str">
        <x:v>https://github.com/jiriflos-eng/ConsolePi-Plus/blob/codex/syslog-1.9.1/docs/SYSLOG.md</x:v>
      </x:c>
    </x:row>
    <x:row r="466" ht="45" customHeight="1">
      <x:c r="A466" s="61" t="str">
        <x:v>Implementace a ověření</x:v>
      </x:c>
      <x:c r="B466" s="61" t="str">
        <x:v>PR 22</x:v>
      </x:c>
      <x:c r="C466" s="61" t="str">
        <x:v>https://github.com/jiriflos-eng/ConsolePi-Plus/pull/22</x:v>
      </x:c>
    </x:row>
    <x:row r="468" ht="26" customHeight="1">
      <x:c r="A468" s="59" t="str">
        <x:v>S17 Nastavení vzdáleného syslogu</x:v>
      </x:c>
      <x:c r="B468" s="59"/>
      <x:c r="C468" s="59"/>
    </x:row>
    <x:row r="469" ht="24" customHeight="1">
      <x:c r="A469" s="61" t="str">
        <x:v>Lokální náhled z 8. 10. 2026: vypnuto, TCP/TLS, port 6514, práh 6, veřejná CA a fronta. Zdroj: šablona system.html, PR 22. Obrázek slouží k orientaci; nedokládá doručení ani akceptaci.</x:v>
      </x:c>
      <x:c r="B469" s="61"/>
      <x:c r="C469" s="61"/>
    </x:row>
    <x:row r="470" ht="24" customHeight="1">
      <x:c r="A470" s="61"/>
      <x:c r="B470" s="61"/>
      <x:c r="C470" s="61"/>
    </x:row>
    <x:row r="471" ht="24" customHeight="1">
      <x:c r="A471" s="61"/>
      <x:c r="B471" s="61"/>
      <x:c r="C471" s="61"/>
    </x:row>
    <x:row r="473" ht="15" customHeight="1"/>
    <x:row r="474" ht="15" customHeight="1"/>
    <x:row r="475" ht="15" customHeight="1"/>
    <x:row r="476" ht="15" customHeight="1"/>
    <x:row r="477" ht="15" customHeight="1"/>
    <x:row r="478" ht="15" customHeight="1"/>
    <x:row r="479" ht="15" customHeight="1"/>
    <x:row r="480" ht="15" customHeight="1"/>
    <x:row r="481" ht="15" customHeight="1"/>
    <x:row r="482" ht="15" customHeight="1"/>
    <x:row r="483" ht="15" customHeight="1"/>
    <x:row r="484" ht="15" customHeight="1"/>
    <x:row r="485" ht="15" customHeight="1"/>
    <x:row r="486" ht="15" customHeight="1"/>
    <x:row r="487" ht="15" customHeight="1"/>
    <x:row r="488" ht="15" customHeight="1"/>
    <x:row r="489" ht="15" customHeight="1"/>
    <x:row r="490" ht="15" customHeight="1"/>
    <x:row r="491" ht="15" customHeight="1"/>
    <x:row r="492" ht="15" customHeight="1"/>
    <x:row r="493" ht="15" customHeight="1"/>
    <x:row r="494" ht="15" customHeight="1"/>
    <x:row r="495" ht="15" customHeight="1"/>
    <x:row r="496" ht="15" customHeight="1"/>
    <x:row r="497" ht="15" customHeight="1"/>
    <x:row r="498" ht="15" customHeight="1"/>
    <x:row r="499" ht="15" customHeight="1"/>
    <x:row r="500" ht="15" customHeight="1"/>
    <x:row r="501" ht="15" customHeight="1"/>
    <x:row r="502" ht="15" customHeight="1"/>
    <x:row r="503" ht="15" customHeight="1"/>
  </x:sheetData>
  <x:mergeCells>
    <x:mergeCell ref="A1:C1"/>
    <x:mergeCell ref="A10:C10"/>
    <x:mergeCell ref="A11:C12"/>
    <x:mergeCell ref="A14:C14"/>
    <x:mergeCell ref="A15:C16"/>
    <x:mergeCell ref="A47:C47"/>
    <x:mergeCell ref="A48:C49"/>
    <x:mergeCell ref="A69:C69"/>
    <x:mergeCell ref="A70:C71"/>
    <x:mergeCell ref="A98:C98"/>
    <x:mergeCell ref="A99:C100"/>
    <x:mergeCell ref="A119:C119"/>
    <x:mergeCell ref="A120:C121"/>
    <x:mergeCell ref="A150:C150"/>
    <x:mergeCell ref="A151:C152"/>
    <x:mergeCell ref="A179:C179"/>
    <x:mergeCell ref="A180:C181"/>
    <x:mergeCell ref="A207:C207"/>
    <x:mergeCell ref="A208:C209"/>
    <x:mergeCell ref="A233:C233"/>
    <x:mergeCell ref="A234:C235"/>
    <x:mergeCell ref="A262:C263"/>
    <x:mergeCell ref="A265:C265"/>
    <x:mergeCell ref="A266:C267"/>
    <x:mergeCell ref="A297:C297"/>
    <x:mergeCell ref="A298:C299"/>
    <x:mergeCell ref="A314:C314"/>
    <x:mergeCell ref="A315:C316"/>
    <x:mergeCell ref="A331:C331"/>
    <x:mergeCell ref="A332:C333"/>
    <x:mergeCell ref="A348:C348"/>
    <x:mergeCell ref="A349:C350"/>
    <x:mergeCell ref="A387:C387"/>
    <x:mergeCell ref="A388:C389"/>
    <x:mergeCell ref="A431:C431"/>
    <x:mergeCell ref="A432:C433"/>
    <x:mergeCell ref="A460:C460"/>
    <x:mergeCell ref="A461:C463"/>
    <x:mergeCell ref="A468:C468"/>
    <x:mergeCell ref="A469:C471"/>
  </x:mergeCells>
  <x:pageMargins left="0.7" right="0.7" top="0.75" bottom="0.75" header="0.3" footer="0.3"/>
  <x:drawing xmlns:r="http://schemas.openxmlformats.org/officeDocument/2006/relationships" r:id="R45a2b7d2b6e444af"/>
</x:worksheet>
</file>